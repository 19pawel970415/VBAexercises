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48721\Desktop\Semestr III\Programowanie VBA\"/>
    </mc:Choice>
  </mc:AlternateContent>
  <xr:revisionPtr revIDLastSave="0" documentId="13_ncr:1_{DDF1A7D0-0C5E-431A-BA65-7CE2FC9DD23A}" xr6:coauthVersionLast="47" xr6:coauthVersionMax="47" xr10:uidLastSave="{00000000-0000-0000-0000-000000000000}"/>
  <bookViews>
    <workbookView xWindow="-108" yWindow="-108" windowWidth="23256" windowHeight="12456" xr2:uid="{3E9FB40A-C90E-4646-949A-2379D0EFDC43}"/>
  </bookViews>
  <sheets>
    <sheet name="Sheet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0" i="1" a="1"/>
  <c r="C9" i="1" a="1"/>
  <c r="C8" i="1" a="1"/>
  <c r="C7" i="1" a="1"/>
  <c r="C6" i="1" a="1"/>
  <c r="C2" i="1" a="1"/>
  <c r="C1" i="1" a="1"/>
  <c r="C5" i="1" a="1"/>
  <c r="C3" i="1" a="1"/>
  <c r="C4" i="1" a="1"/>
  <c r="B7" i="1" a="1"/>
  <c r="B6" i="1" a="1"/>
  <c r="B11" i="1" a="1"/>
  <c r="B5" i="1" a="1"/>
  <c r="B9" i="1" a="1"/>
  <c r="B8" i="1" a="1"/>
  <c r="B4" i="1" a="1"/>
  <c r="B3" i="1" a="1"/>
  <c r="B2" i="1" a="1"/>
  <c r="B1" i="1" a="1"/>
  <c r="B10" i="1" a="1"/>
  <c r="B10" i="1" l="1"/>
  <c r="B1" i="1"/>
  <c r="B2" i="1"/>
  <c r="B3" i="1"/>
  <c r="B4" i="1"/>
  <c r="B8" i="1"/>
  <c r="B9" i="1"/>
  <c r="B5" i="1"/>
  <c r="B11" i="1"/>
  <c r="B6" i="1"/>
  <c r="B7" i="1"/>
  <c r="C4" i="1"/>
  <c r="C3" i="1"/>
  <c r="C5" i="1"/>
  <c r="C1" i="1"/>
  <c r="C2" i="1"/>
  <c r="C6" i="1"/>
  <c r="C7" i="1"/>
  <c r="C8" i="1"/>
  <c r="C9" i="1"/>
  <c r="C10" i="1"/>
  <c r="C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<sst xmlns="http://schemas.openxmlformats.org/spreadsheetml/2006/main" count="11" uniqueCount="11">
  <si>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Zawiera jedynie litery:</t>
  </si>
  <si>
    <t>Numer telefonu (9 znaków):</t>
  </si>
  <si>
    <t>kod pocztowy:</t>
  </si>
  <si>
    <t>email:</t>
  </si>
  <si>
    <t>nazwa użytkownika:</t>
  </si>
  <si>
    <t>PESEL:</t>
  </si>
  <si>
    <t>nazwisko:</t>
  </si>
  <si>
    <t>nr dowodu osobistego:</t>
  </si>
  <si>
    <t>Adres IP:</t>
  </si>
  <si>
    <t>Rachunek bankowy:</t>
  </si>
  <si>
    <t>Data: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</si>
</sst>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7AF92-937A-400E-82DC-E1786B7433E7}">
  <sheetPr codeName="Arkusz1"/>
  <dimension ref="A1:C11"/>
  <sheetViews>
    <sheetView tabSelected="1" zoomScale="145" zoomScaleNormal="145" workbookViewId="0">
      <selection activeCell="C4" sqref="C4"/>
    </sheetView>
  </sheetViews>
  <sheetFormatPr defaultRowHeight="14.4" x14ac:dyDescent="0.3"/>
  <cols>
    <col min="1" max="1" width="29.6640625" customWidth="1"/>
    <col min="2" max="2" width="34" customWidth="1"/>
    <col min="3" max="3" width="24.6640625" customWidth="1"/>
    <col min="8" max="8" width="16.33203125" customWidth="1"/>
  </cols>
  <sheetData>
    <row r="1" spans="1:3" x14ac:dyDescent="0.3">
      <c r="A1" t="s">
        <v>0</v>
      </c>
      <c r="B1" t="str" cm="1">
        <f t="array" ref="B1">CheckIfAlpha("Tekst")</f>
        <v>Tekst</v>
      </c>
      <c r="C1" t="str" cm="1">
        <f t="array" ref="C1">CheckIfAlpha("liczba31")</f>
        <v>błędny format danuch</v>
      </c>
    </row>
    <row r="2" spans="1:3" x14ac:dyDescent="0.3">
      <c r="A2" t="s">
        <v>1</v>
      </c>
      <c r="B2" t="str" cm="1">
        <f t="array" ref="B2">IsValidPhoneNumber(123456789)</f>
        <v>123456789</v>
      </c>
      <c r="C2" t="str" cm="1">
        <f t="array" ref="C2">IsValidPhoneNumber("T")</f>
        <v>Bledny format danych</v>
      </c>
    </row>
    <row r="3" spans="1:3" x14ac:dyDescent="0.3">
      <c r="A3" t="s">
        <v>2</v>
      </c>
      <c r="B3" t="str" cm="1">
        <f t="array" ref="B3">IsValidPostalCode("93-130")</f>
        <v>93-130</v>
      </c>
      <c r="C3" t="str" cm="1">
        <f t="array" ref="C3">IsValidPostalCode("900-200")</f>
        <v>Bledny format danych</v>
      </c>
    </row>
    <row r="4" spans="1:3" x14ac:dyDescent="0.3">
      <c r="A4" t="s">
        <v>3</v>
      </c>
      <c r="B4" t="str" cm="1">
        <f t="array" ref="B4">IsValidEmail("pawel.z@gmail.com")</f>
        <v>pawel.z@gmail.com</v>
      </c>
      <c r="C4" t="str" cm="1">
        <f t="array" ref="C4">IsValidEmail("pawls.cdasljd404")</f>
        <v>Bledny format danych</v>
      </c>
    </row>
    <row r="5" spans="1:3" x14ac:dyDescent="0.3">
      <c r="A5" t="s">
        <v>4</v>
      </c>
      <c r="B5" t="str" cm="1">
        <f t="array" ref="B5">IsValidUsername("User1")</f>
        <v>User1</v>
      </c>
      <c r="C5" t="str" cm="1">
        <f t="array" ref="C5">IsValidUsername("User!1234")</f>
        <v>Bledny format danych</v>
      </c>
    </row>
    <row r="6" spans="1:3" x14ac:dyDescent="0.3">
      <c r="A6" t="s">
        <v>8</v>
      </c>
      <c r="B6" t="str" cm="1">
        <f t="array" ref="B6">IsValidIPAddress("192.155.8.2")</f>
        <v>192.155.8.2</v>
      </c>
      <c r="C6" t="str" cm="1">
        <f t="array" ref="C6">IsValidIPAddress("102.2137.1.1")</f>
        <v>Bledny format danych</v>
      </c>
    </row>
    <row r="7" spans="1:3" x14ac:dyDescent="0.3">
      <c r="A7" t="s">
        <v>5</v>
      </c>
      <c r="B7" t="str" cm="1">
        <f t="array" ref="B7">IsValidPESEL("98020329877")</f>
        <v>98020329877</v>
      </c>
      <c r="C7" t="str" cm="1">
        <f t="array" ref="C7">IsValidPESEL("12345A")</f>
        <v>Błędny format danych</v>
      </c>
    </row>
    <row r="8" spans="1:3" x14ac:dyDescent="0.3">
      <c r="A8" t="s">
        <v>9</v>
      </c>
      <c r="B8" s="1" t="str" cm="1">
        <f t="array" ref="B8">IsValidBankAccount(9.99283746592837E+21)</f>
        <v>Błędny format danych</v>
      </c>
      <c r="C8" t="str" cm="1">
        <f t="array" ref="C8">IsValidBankAccount("123456789")</f>
        <v>Błędny format danych</v>
      </c>
    </row>
    <row r="9" spans="1:3" x14ac:dyDescent="0.3">
      <c r="A9" t="s">
        <v>6</v>
      </c>
      <c r="B9" t="str" cm="1">
        <f t="array" ref="B9">IsValidLastName("Zurawski")</f>
        <v>Zurawski</v>
      </c>
      <c r="C9" t="str" cm="1">
        <f t="array" ref="C9">IsValidLastName("123")</f>
        <v>Błędny format danych</v>
      </c>
    </row>
    <row r="10" spans="1:3" x14ac:dyDescent="0.3">
      <c r="A10" t="s">
        <v>7</v>
      </c>
      <c r="B10" t="str" cm="1">
        <f t="array" ref="B10">IsValidIDNumber("ABC123456")</f>
        <v>ABC123456</v>
      </c>
      <c r="C10" t="str" cm="1">
        <f t="array" ref="C10">IsValidIDNumber("xD9876543")</f>
        <v>Błędny format danych</v>
      </c>
    </row>
    <row r="11" spans="1:3" x14ac:dyDescent="0.3">
      <c r="A11" t="s">
        <v>10</v>
      </c>
      <c r="B11" t="str" cm="1">
        <f t="array" ref="B11">IsValidDate("15.04.2024")</f>
        <v>15.04.2024</v>
      </c>
      <c r="C11" t="str" cm="1">
        <f t="array" ref="C11">IsValidDate("01-13-2024")</f>
        <v>Błędny format danych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FA8D8C29639E04A95932786C6FD13C3" ma:contentTypeVersion="4" ma:contentTypeDescription="Utwórz nowy dokument." ma:contentTypeScope="" ma:versionID="29a3385d638b982a75ac6138276dd77f">
  <xsd:schema xmlns:xsd="http://www.w3.org/2001/XMLSchema" xmlns:xs="http://www.w3.org/2001/XMLSchema" xmlns:p="http://schemas.microsoft.com/office/2006/metadata/properties" xmlns:ns2="56e1b0e4-7565-487b-9df8-6c168216e3f5" targetNamespace="http://schemas.microsoft.com/office/2006/metadata/properties" ma:root="true" ma:fieldsID="ec824d1e9b8051ee0ecb8261f98fcb14" ns2:_="">
    <xsd:import namespace="56e1b0e4-7565-487b-9df8-6c168216e3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e1b0e4-7565-487b-9df8-6c168216e3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0A2BD99-892A-40EB-A9E1-A199908DEF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e1b0e4-7565-487b-9df8-6c168216e3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424A5B2-9DC5-4C8A-AF19-DCDFF99F3C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9CAD5-1D34-42F9-B4D3-0CE8DBEEEFB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Arkadiusz Iwanicki</dc:creator>
  <cp:keywords/>
  <dc:description/>
  <cp:lastModifiedBy>Paweł Żurawski</cp:lastModifiedBy>
  <cp:revision/>
  <dcterms:created xsi:type="dcterms:W3CDTF">2024-01-15T14:06:15Z</dcterms:created>
  <dcterms:modified xsi:type="dcterms:W3CDTF">2024-01-22T13:10:38Z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0x0101008FA8D8C29639E04A95932786C6FD13C3</vt:lpwstr>
  </property>
</Properties>
</file>